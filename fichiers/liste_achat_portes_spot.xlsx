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e d'achat" sheetId="1" state="visible" r:id="rId3"/>
  </sheets>
  <definedNames>
    <definedName function="false" hidden="true" localSheetId="0" name="_xlnm._FilterDatabase" vbProcedure="false">'Liste d''achat'!$A$4:$P$26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7" authorId="0">
      <text>
        <r>
          <rPr>
            <sz val="10"/>
            <rFont val="Arial"/>
            <family val="2"/>
          </rPr>
          <t xml:space="preserve">Prix à chiffrer chez le fournisseur.</t>
        </r>
      </text>
    </comment>
    <comment ref="I13" authorId="0">
      <text>
        <r>
          <rPr>
            <sz val="10"/>
            <rFont val="Arial"/>
            <family val="2"/>
          </rPr>
          <t xml:space="preserve">Prix à chiffrer chez le fournisseur.</t>
        </r>
      </text>
    </comment>
    <comment ref="I18" authorId="0">
      <text>
        <r>
          <rPr>
            <sz val="10"/>
            <rFont val="Arial"/>
            <family val="2"/>
          </rPr>
          <t xml:space="preserve">Prix à chiffrer chez le fournisseur.</t>
        </r>
      </text>
    </comment>
  </commentList>
</comments>
</file>

<file path=xl/sharedStrings.xml><?xml version="1.0" encoding="utf-8"?>
<sst xmlns="http://schemas.openxmlformats.org/spreadsheetml/2006/main" count="239" uniqueCount="145">
  <si>
    <t xml:space="preserve">Projet Soda — Liste d'achat système Wi-Fi, 6 portes (21/10/2026, fermeture commandée incluse)</t>
  </si>
  <si>
    <t xml:space="preserve">Chiffres en bleu = saisies modifiables (prix du lot, nombre de lots). Cellule jaune = prix à chiffrer. Lignes « Conditionnel » : 0 lot commandé, voir « Nb si retenu ». Lien d'achat souligné : cliquer pour ouvrir la fiche du produit (ou une recherche Amazon quand aucune fiche précise n'existe). Prix HT et disponibilités relevés les 20 et 21/10/2026 (RS, Rexel).</t>
  </si>
  <si>
    <t xml:space="preserve">N°</t>
  </si>
  <si>
    <t xml:space="preserve">Catégorie</t>
  </si>
  <si>
    <t xml:space="preserve">Article</t>
  </si>
  <si>
    <t xml:space="preserve">Rôle</t>
  </si>
  <si>
    <t xml:space="preserve">Fournisseur</t>
  </si>
  <si>
    <t xml:space="preserve">Référence</t>
  </si>
  <si>
    <t xml:space="preserve">Lien d'achat</t>
  </si>
  <si>
    <t xml:space="preserve">Conditionnement</t>
  </si>
  <si>
    <t xml:space="preserve">Prix HT du lot (€)</t>
  </si>
  <si>
    <t xml:space="preserve">Nb de lots à commander</t>
  </si>
  <si>
    <t xml:space="preserve">Total HT (€)</t>
  </si>
  <si>
    <t xml:space="preserve">Quantité utile</t>
  </si>
  <si>
    <t xml:space="preserve">Statut</t>
  </si>
  <si>
    <t xml:space="preserve">Remarque</t>
  </si>
  <si>
    <t xml:space="preserve">Nb si retenu</t>
  </si>
  <si>
    <t xml:space="preserve">Total si retenu (€)</t>
  </si>
  <si>
    <t xml:space="preserve">Module de porte</t>
  </si>
  <si>
    <t xml:space="preserve">Carte Seeit ESP32-RELAY02 (Wi-Fi, 2 relais)</t>
  </si>
  <si>
    <t xml:space="preserve">Reçoit les ordres de Spot par le Wi-Fi : relais K1 = ouverture, relais K2 = fermeture (portes sans fermeture automatique)</t>
  </si>
  <si>
    <t xml:space="preserve">RS</t>
  </si>
  <si>
    <t xml:space="preserve">286-3995</t>
  </si>
  <si>
    <t xml:space="preserve">Fiche RS</t>
  </si>
  <si>
    <t xml:space="preserve">à l'unité</t>
  </si>
  <si>
    <t xml:space="preserve">6 + 1 rechange</t>
  </si>
  <si>
    <t xml:space="preserve">À commander</t>
  </si>
  <si>
    <t xml:space="preserve">Disponibilité RS au 21/10 : 1 prête à expédier, 17 de plus à partir du 26/10/2026. Prix dégressif : 25,84 € dès 5. À commander en premier.</t>
  </si>
  <si>
    <t xml:space="preserve">Câble FTDI TTL-232R-3V3 (USB vers série 3,3 V)</t>
  </si>
  <si>
    <t xml:space="preserve">Programmer et configurer les cartes</t>
  </si>
  <si>
    <t xml:space="preserve">429-307</t>
  </si>
  <si>
    <t xml:space="preserve">2</t>
  </si>
  <si>
    <t xml:space="preserve">Version 3,3 V obligatoire pour l'ESP32. Un de secours.</t>
  </si>
  <si>
    <t xml:space="preserve">Entretoises nylon M3 et vis (assortiment)</t>
  </si>
  <si>
    <t xml:space="preserve">Fixer la carte au fond de la boîte (4 par carte, 10 mm)</t>
  </si>
  <si>
    <t xml:space="preserve">Amazon</t>
  </si>
  <si>
    <t xml:space="preserve">à choisir</t>
  </si>
  <si>
    <t xml:space="preserve">Recherche Amazon</t>
  </si>
  <si>
    <t xml:space="preserve">assortiment</t>
  </si>
  <si>
    <t xml:space="preserve">24</t>
  </si>
  <si>
    <t xml:space="preserve">À chiffrer. Prix à relever sur Amazon.</t>
  </si>
  <si>
    <t xml:space="preserve">Boîtier externe</t>
  </si>
  <si>
    <t xml:space="preserve">Boîte Mureva 150 x 105 x 80, IP55</t>
  </si>
  <si>
    <t xml:space="preserve">Boîtier du module, fixé au mur à côté de l'armoire</t>
  </si>
  <si>
    <t xml:space="preserve">Rexel</t>
  </si>
  <si>
    <t xml:space="preserve">SCHENN05087</t>
  </si>
  <si>
    <t xml:space="preserve">Fiche Rexel</t>
  </si>
  <si>
    <t xml:space="preserve">6</t>
  </si>
  <si>
    <t xml:space="preserve">Profondeur intérieure à mesurer à réception (environ 74 mm attendus).</t>
  </si>
  <si>
    <t xml:space="preserve">Rail DIN 35 x 7,5 mm perforé, barre de 1 m</t>
  </si>
  <si>
    <t xml:space="preserve">Support des bornes : un tronçon de 6 cm vertical par boîte</t>
  </si>
  <si>
    <t xml:space="preserve">467-416</t>
  </si>
  <si>
    <t xml:space="preserve">paquet de 4 barres</t>
  </si>
  <si>
    <t xml:space="preserve">6 x 6 cm</t>
  </si>
  <si>
    <t xml:space="preserve">Remplace le rail 35 x 15 mm (Rexel BIZ200235) : 7,5 mm de moins en hauteur sous le couvercle.</t>
  </si>
  <si>
    <t xml:space="preserve">Borne à ressort Wago 2002-1201, 2,5 mm²</t>
  </si>
  <si>
    <t xml:space="preserve">X2.1-X2.2 contact K1 (ouverture), X2.3-X2.4 24 V AC, X2.5-X2.6 contact K2 (fermeture), X2.7 réserve</t>
  </si>
  <si>
    <t xml:space="preserve">507-6535</t>
  </si>
  <si>
    <t xml:space="preserve">paquet de 10</t>
  </si>
  <si>
    <t xml:space="preserve">6 ou 7 par boîte (X2.1 à X2.7)</t>
  </si>
  <si>
    <t xml:space="preserve">Un paquet de plus pour les portes à fermeture commandée (2 bornes de plus par boîte).</t>
  </si>
  <si>
    <t xml:space="preserve">Borne porte-fusible Wago 2002-1611 (fusible 5 x 20)</t>
  </si>
  <si>
    <t xml:space="preserve">F1 : protège le 24 V AC pris dans l'armoire</t>
  </si>
  <si>
    <t xml:space="preserve">758-1705</t>
  </si>
  <si>
    <t xml:space="preserve">6 + 4 réserve</t>
  </si>
  <si>
    <t xml:space="preserve">Remplace le Phoenix UT 4-HESI (73 mm de haut) : 57,2 mm au-dessus du rail, passe sous le couvercle. Même gamme que les bornes 2002.</t>
  </si>
  <si>
    <t xml:space="preserve">Fusible 5 x 20 mm 1 A rapide</t>
  </si>
  <si>
    <t xml:space="preserve">Fusible de F1</t>
  </si>
  <si>
    <t xml:space="preserve">630-826</t>
  </si>
  <si>
    <t xml:space="preserve">boîte de 10</t>
  </si>
  <si>
    <t xml:space="preserve">Calibre validé par la simulation. Rupture RS annoncée jusqu'au 27/11/2026 (relevé du 21/10) : tout fusible 5 x 20 mm 1 A rapide 250 V convient.</t>
  </si>
  <si>
    <t xml:space="preserve">Plaque d'extrémité Wago 2002-1291</t>
  </si>
  <si>
    <t xml:space="preserve">Ferme le côté ouvert de la dernière borne</t>
  </si>
  <si>
    <t xml:space="preserve">WAG2002-1291</t>
  </si>
  <si>
    <t xml:space="preserve">À chiffrer. Prix visible après connexion au compte Rexel.</t>
  </si>
  <si>
    <t xml:space="preserve">Butée d'arrêt Wago 249-116</t>
  </si>
  <si>
    <t xml:space="preserve">Bloque la rangée de bornes sur le rail</t>
  </si>
  <si>
    <t xml:space="preserve">796-0460</t>
  </si>
  <si>
    <t xml:space="preserve">paquet de 5</t>
  </si>
  <si>
    <t xml:space="preserve">12 (2 par boîte)</t>
  </si>
  <si>
    <t xml:space="preserve">Presse-étoupe M16 IP68 nylon, câble Ø 5 à 10 mm</t>
  </si>
  <si>
    <t xml:space="preserve">Entrée du câble dans la boîte (1 utilisé, 1 réserve)</t>
  </si>
  <si>
    <t xml:space="preserve">214-1064</t>
  </si>
  <si>
    <t xml:space="preserve">sachet de 10</t>
  </si>
  <si>
    <t xml:space="preserve">12</t>
  </si>
  <si>
    <t xml:space="preserve">Stock RS indisponible au 21/10 : vérifier, ou prendre un presse-étoupe M16 IP68 équivalent (câble Ø 5 à 10 mm).</t>
  </si>
  <si>
    <t xml:space="preserve">Alimentation de la carte</t>
  </si>
  <si>
    <t xml:space="preserve">Pont redresseur onsemi GBU4G (400 V, 4 A)</t>
  </si>
  <si>
    <t xml:space="preserve">Transforme le 24 V AC de l'armoire en continu</t>
  </si>
  <si>
    <t xml:space="preserve">806-7121</t>
  </si>
  <si>
    <t xml:space="preserve">tube de 20</t>
  </si>
  <si>
    <t xml:space="preserve">La carte accepte 7 à 60 V continu sur son bornier : environ 32 V après redressement.</t>
  </si>
  <si>
    <t xml:space="preserve">Condensateur 470 µF 63 V radial 105 °C</t>
  </si>
  <si>
    <t xml:space="preserve">Lisse la tension redressée</t>
  </si>
  <si>
    <t xml:space="preserve">711-1615</t>
  </si>
  <si>
    <t xml:space="preserve">Respecter la polarité.</t>
  </si>
  <si>
    <t xml:space="preserve">Plaque à bandes (veroboard)</t>
  </si>
  <si>
    <t xml:space="preserve">Support du pont et du condensateur</t>
  </si>
  <si>
    <t xml:space="preserve">plaque</t>
  </si>
  <si>
    <t xml:space="preserve">6 morceaux de 45 x 32 mm</t>
  </si>
  <si>
    <t xml:space="preserve">À chiffrer. Pas de plaque à bandes trouvée sur RS France ; n'importe quelle plaque au pas de 2,54 mm convient.</t>
  </si>
  <si>
    <t xml:space="preserve">Liaison avec l'armoire</t>
  </si>
  <si>
    <t xml:space="preserve">Câble souple YSL-JZ 7G0,50</t>
  </si>
  <si>
    <t xml:space="preserve">Fils 1-2 contact K1 (ouverture), 3-4 24 V AC, 5-6 contact K2 (fermeture), vert-jaune terre</t>
  </si>
  <si>
    <t xml:space="preserve">FILYSLJZ7G0,5TGL</t>
  </si>
  <si>
    <t xml:space="preserve">au mètre</t>
  </si>
  <si>
    <t xml:space="preserve">environ 3 m par porte</t>
  </si>
  <si>
    <t xml:space="preserve">Longueur à mesurer à chaque porte.</t>
  </si>
  <si>
    <t xml:space="preserve">Presse-étoupe M20 IP68 nylon</t>
  </si>
  <si>
    <t xml:space="preserve">Entrée du câble dans l'armoire de la porte</t>
  </si>
  <si>
    <t xml:space="preserve">669-4664</t>
  </si>
  <si>
    <t xml:space="preserve">sachet de 5</t>
  </si>
  <si>
    <t xml:space="preserve">Selon le diamètre de l'entrée libre de l'armoire.</t>
  </si>
  <si>
    <t xml:space="preserve">Embouts de câblage isolés 0,5 mm²</t>
  </si>
  <si>
    <t xml:space="preserve">Sertis sur chaque fil</t>
  </si>
  <si>
    <t xml:space="preserve">178-7287</t>
  </si>
  <si>
    <t xml:space="preserve">sachet de 100</t>
  </si>
  <si>
    <t xml:space="preserve">environ 20 par porte</t>
  </si>
  <si>
    <t xml:space="preserve">Si nécessaire</t>
  </si>
  <si>
    <t xml:space="preserve">Routeur de voyage TP-Link TL-WR902AC</t>
  </si>
  <si>
    <t xml:space="preserve">Réseau Wi-Fi de test si l'informatique ne donne pas d'accès à temps</t>
  </si>
  <si>
    <t xml:space="preserve">286-4650</t>
  </si>
  <si>
    <t xml:space="preserve">1</t>
  </si>
  <si>
    <t xml:space="preserve">Conditionnel</t>
  </si>
  <si>
    <t xml:space="preserve">Ce point d'accès doit lui aussi être autorisé par l'informatique.</t>
  </si>
  <si>
    <t xml:space="preserve">Clé Wi-Fi USB TP-Link Archer T2U Plus</t>
  </si>
  <si>
    <t xml:space="preserve">Relier le CORE I/O au réseau de test</t>
  </si>
  <si>
    <t xml:space="preserve">255-8427</t>
  </si>
  <si>
    <t xml:space="preserve">Seulement avec le routeur de test ; pilote Linux à vérifier.</t>
  </si>
  <si>
    <t xml:space="preserve">Foret étagé 6 à 30,5 mm</t>
  </si>
  <si>
    <t xml:space="preserve">Percer l'armoire s'il n'y a pas d'entrée libre</t>
  </si>
  <si>
    <t xml:space="preserve">399-0934</t>
  </si>
  <si>
    <t xml:space="preserve">Avec l'accord de la maintenance.</t>
  </si>
  <si>
    <t xml:space="preserve">Redresseur rail DIN Zander Aachen 456100</t>
  </si>
  <si>
    <t xml:space="preserve">Variante industrielle du pont redresseur</t>
  </si>
  <si>
    <t xml:space="preserve">562-114</t>
  </si>
  <si>
    <t xml:space="preserve">Seulement si la maintenance refuse le montage sur plaque ; demande un coffret plus grand.</t>
  </si>
  <si>
    <t xml:space="preserve">Alimentation Mean Well HDR-15-24</t>
  </si>
  <si>
    <t xml:space="preserve">Si le transformateur de l'armoire est trop chargé</t>
  </si>
  <si>
    <t xml:space="preserve">145-7862</t>
  </si>
  <si>
    <t xml:space="preserve">1 par porte concernée</t>
  </si>
  <si>
    <t xml:space="preserve">Amène du 230 V dans la boîte : à éviter si possible.</t>
  </si>
  <si>
    <t xml:space="preserve">Total à commander</t>
  </si>
  <si>
    <t xml:space="preserve">Si tous retenus</t>
  </si>
  <si>
    <t xml:space="preserve">Articles « à chiffrer » non comptés dans le total. Total conditionnel : coût si chaque article « Si nécessaire » est retenu avec la quantité « Nb si retenu ».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</si>
</sst>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;\-#,##0.00&quot; €&quot;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4F4F"/>
        <bgColor rgb="FF555555"/>
      </patternFill>
    </fill>
    <fill>
      <patternFill patternType="solid">
        <fgColor rgb="FFFFFF00"/>
        <bgColor rgb="FFFFFF00"/>
      </patternFill>
    </fill>
    <fill>
      <patternFill patternType="solid">
        <fgColor rgb="FFF4F7FA"/>
        <bgColor rgb="FFFFFFFF"/>
      </patternFill>
    </fill>
    <fill>
      <patternFill patternType="solid">
        <fgColor rgb="FFE8E8E8"/>
        <bgColor rgb="FFF4F7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F4F4F"/>
          <bgColor rgb="FF000000"/>
        </patternFill>
      </fill>
    </dxf>
    <dxf>
      <fill>
        <patternFill patternType="solid">
          <fgColor rgb="FFF4F7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7FA"/>
      <rgbColor rgb="FFE8E8E8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fr.rs-online.com/web/p/products/2863995" TargetMode="External"/><Relationship Id="rId3" Type="http://schemas.openxmlformats.org/officeDocument/2006/relationships/hyperlink" Target="https://fr.rs-online.com/web/p/products/0429307" TargetMode="External"/><Relationship Id="rId4" Type="http://schemas.openxmlformats.org/officeDocument/2006/relationships/hyperlink" Target="https://www.amazon.fr/s?k=kit+entretoises+nylon+M3" TargetMode="External"/><Relationship Id="rId5" Type="http://schemas.openxmlformats.org/officeDocument/2006/relationships/hyperlink" Target="https://www.rexel.fr/frx/Cat&#233;gorie/Appareillage-et-contr&#244;le-du-b&#226;timent/Boite-d%27encastrement-et-de-d&#233;rivation/Boite-&#233;tanche/Mureva-Box---bo&#238;te-de-d&#233;rivation-en-saillie---150-x-105-x-80-mm/SCHENN05087/p/71373641" TargetMode="External"/><Relationship Id="rId6" Type="http://schemas.openxmlformats.org/officeDocument/2006/relationships/hyperlink" Target="https://fr.rs-online.com/web/p/rails-din/0467416" TargetMode="External"/><Relationship Id="rId7" Type="http://schemas.openxmlformats.org/officeDocument/2006/relationships/hyperlink" Target="https://fr.rs-online.com/web/p/borniers-pour-rail-din/5076535" TargetMode="External"/><Relationship Id="rId8" Type="http://schemas.openxmlformats.org/officeDocument/2006/relationships/hyperlink" Target="https://fr.rs-online.com/web/p/borniers-pour-rail-din/7581705" TargetMode="External"/><Relationship Id="rId9" Type="http://schemas.openxmlformats.org/officeDocument/2006/relationships/hyperlink" Target="https://fr.rs-online.com/web/p/products/0630826" TargetMode="External"/><Relationship Id="rId10" Type="http://schemas.openxmlformats.org/officeDocument/2006/relationships/hyperlink" Target="https://www.rexel.fr/frx/Cat&#233;gorie/Produits-Industriels/Connectique-et-raccordement/Bloc-de-jonction-borne-de-c&#226;blage/TOPJOB%27S-Plaque-d%27extr&#233;mit&#233;-et-interm&#233;diaire-2C-Gris/WAG2002-1291/p/61957948" TargetMode="External"/><Relationship Id="rId11" Type="http://schemas.openxmlformats.org/officeDocument/2006/relationships/hyperlink" Target="https://fr.rs-online.com/web/p/products/7960460" TargetMode="External"/><Relationship Id="rId12" Type="http://schemas.openxmlformats.org/officeDocument/2006/relationships/hyperlink" Target="https://fr.rs-online.com/web/p/products/2141064" TargetMode="External"/><Relationship Id="rId13" Type="http://schemas.openxmlformats.org/officeDocument/2006/relationships/hyperlink" Target="https://fr.rs-online.com/web/p/products/8067121" TargetMode="External"/><Relationship Id="rId14" Type="http://schemas.openxmlformats.org/officeDocument/2006/relationships/hyperlink" Target="https://fr.rs-online.com/web/p/products/7111615" TargetMode="External"/><Relationship Id="rId15" Type="http://schemas.openxmlformats.org/officeDocument/2006/relationships/hyperlink" Target="https://www.amazon.fr/s?k=plaque+&#224;+bandes+veroboard" TargetMode="External"/><Relationship Id="rId16" Type="http://schemas.openxmlformats.org/officeDocument/2006/relationships/hyperlink" Target="https://www.rexel.fr/frx/Cat&#233;gorie/Fils-et-C&#226;bles/C&#226;ble-de-contr&#244;le%2C-manutention-et-instrumentation/C&#226;ble-de-contr&#244;le%2C-commande-et-liaison-moteur/C&#226;ble-souple-de-commande-CL5-PVC-YSL-JZ-7G0%2C50-TGL/FILYSLJZ7G0%2C5TGL/p/62312351" TargetMode="External"/><Relationship Id="rId17" Type="http://schemas.openxmlformats.org/officeDocument/2006/relationships/hyperlink" Target="https://fr.rs-online.com/web/p/products/6694664" TargetMode="External"/><Relationship Id="rId18" Type="http://schemas.openxmlformats.org/officeDocument/2006/relationships/hyperlink" Target="https://fr.rs-online.com/web/p/products/1787287" TargetMode="External"/><Relationship Id="rId19" Type="http://schemas.openxmlformats.org/officeDocument/2006/relationships/hyperlink" Target="https://fr.rs-online.com/web/p/products/2864650" TargetMode="External"/><Relationship Id="rId20" Type="http://schemas.openxmlformats.org/officeDocument/2006/relationships/hyperlink" Target="https://fr.rs-online.com/web/p/products/2558427" TargetMode="External"/><Relationship Id="rId21" Type="http://schemas.openxmlformats.org/officeDocument/2006/relationships/hyperlink" Target="https://fr.rs-online.com/web/p/products/3990934" TargetMode="External"/><Relationship Id="rId22" Type="http://schemas.openxmlformats.org/officeDocument/2006/relationships/hyperlink" Target="https://fr.rs-online.com/web/p/products/0562114" TargetMode="External"/><Relationship Id="rId23" Type="http://schemas.openxmlformats.org/officeDocument/2006/relationships/hyperlink" Target="https://fr.rs-online.com/web/p/products/1457862" TargetMode="External"/><Relationship Id="rId24" Type="http://schemas.openxmlformats.org/officeDocument/2006/relationships/drawing" Target="../drawings/drawing1.xml"/><Relationship Id="rId25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5" min="5" style="0" width="10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8"/>
    <col collapsed="false" customWidth="true" hidden="false" outlineLevel="0" max="13" min="13" style="0" width="13"/>
    <col collapsed="false" customWidth="true" hidden="false" outlineLevel="0" max="14" min="14" style="0" width="46"/>
    <col collapsed="false" customWidth="true" hidden="false" outlineLevel="0" max="15" min="15" style="0" width="10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35.05" hidden="false" customHeight="false" outlineLevel="0" collapsed="false">
      <c r="A5" s="4" t="n">
        <v>1</v>
      </c>
      <c r="B5" s="5" t="s">
        <v>18</v>
      </c>
      <c r="C5" s="6" t="s">
        <v>19</v>
      </c>
      <c r="D5" s="6" t="s">
        <v>20</v>
      </c>
      <c r="E5" s="5" t="s">
        <v>21</v>
      </c>
      <c r="F5" s="5" t="s">
        <v>22</v>
      </c>
      <c r="G5" s="7" t="s">
        <v>23</v>
      </c>
      <c r="H5" s="5" t="s">
        <v>24</v>
      </c>
      <c r="I5" s="8" t="n">
        <v>27.2</v>
      </c>
      <c r="J5" s="9" t="n">
        <v>7</v>
      </c>
      <c r="K5" s="10" t="n">
        <f aca="false">IF(I5="","à chiffrer",I5*J5)</f>
        <v>190.4</v>
      </c>
      <c r="L5" s="6" t="s">
        <v>25</v>
      </c>
      <c r="M5" s="5" t="s">
        <v>26</v>
      </c>
      <c r="N5" s="6" t="s">
        <v>27</v>
      </c>
      <c r="O5" s="11"/>
      <c r="P5" s="12"/>
    </row>
    <row r="6" customFormat="false" ht="23.85" hidden="false" customHeight="false" outlineLevel="0" collapsed="false">
      <c r="A6" s="4" t="n">
        <v>2</v>
      </c>
      <c r="B6" s="5" t="s">
        <v>18</v>
      </c>
      <c r="C6" s="6" t="s">
        <v>28</v>
      </c>
      <c r="D6" s="6" t="s">
        <v>29</v>
      </c>
      <c r="E6" s="5" t="s">
        <v>21</v>
      </c>
      <c r="F6" s="5" t="s">
        <v>30</v>
      </c>
      <c r="G6" s="7" t="s">
        <v>23</v>
      </c>
      <c r="H6" s="5" t="s">
        <v>24</v>
      </c>
      <c r="I6" s="8" t="n">
        <v>23.2</v>
      </c>
      <c r="J6" s="9" t="n">
        <v>2</v>
      </c>
      <c r="K6" s="10" t="n">
        <f aca="false">IF(I6="","à chiffrer",I6*J6)</f>
        <v>46.4</v>
      </c>
      <c r="L6" s="6" t="s">
        <v>31</v>
      </c>
      <c r="M6" s="5" t="s">
        <v>26</v>
      </c>
      <c r="N6" s="6" t="s">
        <v>32</v>
      </c>
      <c r="O6" s="11"/>
      <c r="P6" s="12"/>
    </row>
    <row r="7" customFormat="false" ht="15" hidden="false" customHeight="false" outlineLevel="0" collapsed="false">
      <c r="A7" s="4" t="n">
        <v>3</v>
      </c>
      <c r="B7" s="5" t="s">
        <v>18</v>
      </c>
      <c r="C7" s="6" t="s">
        <v>33</v>
      </c>
      <c r="D7" s="6" t="s">
        <v>34</v>
      </c>
      <c r="E7" s="5" t="s">
        <v>35</v>
      </c>
      <c r="F7" s="5" t="s">
        <v>36</v>
      </c>
      <c r="G7" s="7" t="s">
        <v>37</v>
      </c>
      <c r="H7" s="5" t="s">
        <v>38</v>
      </c>
      <c r="I7" s="13"/>
      <c r="J7" s="9" t="n">
        <v>1</v>
      </c>
      <c r="K7" s="10" t="str">
        <f aca="false">IF(I7="","à chiffrer",I7*J7)</f>
        <v>à chiffrer</v>
      </c>
      <c r="L7" s="6" t="s">
        <v>39</v>
      </c>
      <c r="M7" s="5" t="s">
        <v>26</v>
      </c>
      <c r="N7" s="6" t="s">
        <v>40</v>
      </c>
      <c r="O7" s="11"/>
      <c r="P7" s="12"/>
    </row>
    <row r="8" customFormat="false" ht="23.85" hidden="false" customHeight="false" outlineLevel="0" collapsed="false">
      <c r="A8" s="14" t="n">
        <v>4</v>
      </c>
      <c r="B8" s="15" t="s">
        <v>41</v>
      </c>
      <c r="C8" s="16" t="s">
        <v>42</v>
      </c>
      <c r="D8" s="16" t="s">
        <v>43</v>
      </c>
      <c r="E8" s="15" t="s">
        <v>44</v>
      </c>
      <c r="F8" s="15" t="s">
        <v>45</v>
      </c>
      <c r="G8" s="17" t="s">
        <v>46</v>
      </c>
      <c r="H8" s="15" t="s">
        <v>24</v>
      </c>
      <c r="I8" s="18" t="n">
        <v>24.96</v>
      </c>
      <c r="J8" s="19" t="n">
        <v>6</v>
      </c>
      <c r="K8" s="20" t="n">
        <f aca="false">IF(I8="","à chiffrer",I8*J8)</f>
        <v>149.76</v>
      </c>
      <c r="L8" s="16" t="s">
        <v>47</v>
      </c>
      <c r="M8" s="15" t="s">
        <v>26</v>
      </c>
      <c r="N8" s="16" t="s">
        <v>48</v>
      </c>
      <c r="O8" s="21"/>
      <c r="P8" s="22"/>
    </row>
    <row r="9" customFormat="false" ht="23.85" hidden="false" customHeight="false" outlineLevel="0" collapsed="false">
      <c r="A9" s="14" t="n">
        <v>5</v>
      </c>
      <c r="B9" s="15" t="s">
        <v>41</v>
      </c>
      <c r="C9" s="16" t="s">
        <v>49</v>
      </c>
      <c r="D9" s="16" t="s">
        <v>50</v>
      </c>
      <c r="E9" s="15" t="s">
        <v>21</v>
      </c>
      <c r="F9" s="15" t="s">
        <v>51</v>
      </c>
      <c r="G9" s="17" t="s">
        <v>23</v>
      </c>
      <c r="H9" s="15" t="s">
        <v>52</v>
      </c>
      <c r="I9" s="18" t="n">
        <v>27.13</v>
      </c>
      <c r="J9" s="19" t="n">
        <v>1</v>
      </c>
      <c r="K9" s="20" t="n">
        <f aca="false">IF(I9="","à chiffrer",I9*J9)</f>
        <v>27.13</v>
      </c>
      <c r="L9" s="16" t="s">
        <v>53</v>
      </c>
      <c r="M9" s="15" t="s">
        <v>26</v>
      </c>
      <c r="N9" s="16" t="s">
        <v>54</v>
      </c>
      <c r="O9" s="21"/>
      <c r="P9" s="22"/>
    </row>
    <row r="10" customFormat="false" ht="23.85" hidden="false" customHeight="false" outlineLevel="0" collapsed="false">
      <c r="A10" s="14" t="n">
        <v>6</v>
      </c>
      <c r="B10" s="15" t="s">
        <v>41</v>
      </c>
      <c r="C10" s="16" t="s">
        <v>55</v>
      </c>
      <c r="D10" s="16" t="s">
        <v>56</v>
      </c>
      <c r="E10" s="15" t="s">
        <v>21</v>
      </c>
      <c r="F10" s="15" t="s">
        <v>57</v>
      </c>
      <c r="G10" s="17" t="s">
        <v>23</v>
      </c>
      <c r="H10" s="15" t="s">
        <v>58</v>
      </c>
      <c r="I10" s="18" t="n">
        <v>9.34</v>
      </c>
      <c r="J10" s="19" t="n">
        <v>4</v>
      </c>
      <c r="K10" s="20" t="n">
        <f aca="false">IF(I10="","à chiffrer",I10*J10)</f>
        <v>37.36</v>
      </c>
      <c r="L10" s="16" t="s">
        <v>59</v>
      </c>
      <c r="M10" s="15" t="s">
        <v>26</v>
      </c>
      <c r="N10" s="16" t="s">
        <v>60</v>
      </c>
      <c r="O10" s="21"/>
      <c r="P10" s="22"/>
    </row>
    <row r="11" customFormat="false" ht="35.05" hidden="false" customHeight="false" outlineLevel="0" collapsed="false">
      <c r="A11" s="14" t="n">
        <v>7</v>
      </c>
      <c r="B11" s="15" t="s">
        <v>41</v>
      </c>
      <c r="C11" s="16" t="s">
        <v>61</v>
      </c>
      <c r="D11" s="16" t="s">
        <v>62</v>
      </c>
      <c r="E11" s="15" t="s">
        <v>21</v>
      </c>
      <c r="F11" s="15" t="s">
        <v>63</v>
      </c>
      <c r="G11" s="17" t="s">
        <v>23</v>
      </c>
      <c r="H11" s="15" t="s">
        <v>58</v>
      </c>
      <c r="I11" s="18" t="n">
        <v>49.29</v>
      </c>
      <c r="J11" s="19" t="n">
        <v>1</v>
      </c>
      <c r="K11" s="20" t="n">
        <f aca="false">IF(I11="","à chiffrer",I11*J11)</f>
        <v>49.29</v>
      </c>
      <c r="L11" s="16" t="s">
        <v>64</v>
      </c>
      <c r="M11" s="15" t="s">
        <v>26</v>
      </c>
      <c r="N11" s="16" t="s">
        <v>65</v>
      </c>
      <c r="O11" s="21"/>
      <c r="P11" s="22"/>
    </row>
    <row r="12" customFormat="false" ht="35.05" hidden="false" customHeight="false" outlineLevel="0" collapsed="false">
      <c r="A12" s="14" t="n">
        <v>8</v>
      </c>
      <c r="B12" s="15" t="s">
        <v>41</v>
      </c>
      <c r="C12" s="16" t="s">
        <v>66</v>
      </c>
      <c r="D12" s="16" t="s">
        <v>67</v>
      </c>
      <c r="E12" s="15" t="s">
        <v>21</v>
      </c>
      <c r="F12" s="15" t="s">
        <v>68</v>
      </c>
      <c r="G12" s="17" t="s">
        <v>23</v>
      </c>
      <c r="H12" s="15" t="s">
        <v>69</v>
      </c>
      <c r="I12" s="18" t="n">
        <v>5.76</v>
      </c>
      <c r="J12" s="19" t="n">
        <v>1</v>
      </c>
      <c r="K12" s="20" t="n">
        <f aca="false">IF(I12="","à chiffrer",I12*J12)</f>
        <v>5.76</v>
      </c>
      <c r="L12" s="16" t="s">
        <v>64</v>
      </c>
      <c r="M12" s="15" t="s">
        <v>26</v>
      </c>
      <c r="N12" s="16" t="s">
        <v>70</v>
      </c>
      <c r="O12" s="21"/>
      <c r="P12" s="22"/>
    </row>
    <row r="13" customFormat="false" ht="15" hidden="false" customHeight="false" outlineLevel="0" collapsed="false">
      <c r="A13" s="14" t="n">
        <v>9</v>
      </c>
      <c r="B13" s="15" t="s">
        <v>41</v>
      </c>
      <c r="C13" s="16" t="s">
        <v>71</v>
      </c>
      <c r="D13" s="16" t="s">
        <v>72</v>
      </c>
      <c r="E13" s="15" t="s">
        <v>44</v>
      </c>
      <c r="F13" s="15" t="s">
        <v>73</v>
      </c>
      <c r="G13" s="17" t="s">
        <v>46</v>
      </c>
      <c r="H13" s="15" t="s">
        <v>24</v>
      </c>
      <c r="I13" s="13"/>
      <c r="J13" s="19" t="n">
        <v>6</v>
      </c>
      <c r="K13" s="20" t="str">
        <f aca="false">IF(I13="","à chiffrer",I13*J13)</f>
        <v>à chiffrer</v>
      </c>
      <c r="L13" s="16" t="s">
        <v>47</v>
      </c>
      <c r="M13" s="15" t="s">
        <v>26</v>
      </c>
      <c r="N13" s="16" t="s">
        <v>74</v>
      </c>
      <c r="O13" s="21"/>
      <c r="P13" s="22"/>
    </row>
    <row r="14" customFormat="false" ht="15" hidden="false" customHeight="false" outlineLevel="0" collapsed="false">
      <c r="A14" s="14" t="n">
        <v>10</v>
      </c>
      <c r="B14" s="15" t="s">
        <v>41</v>
      </c>
      <c r="C14" s="16" t="s">
        <v>75</v>
      </c>
      <c r="D14" s="16" t="s">
        <v>76</v>
      </c>
      <c r="E14" s="15" t="s">
        <v>21</v>
      </c>
      <c r="F14" s="15" t="s">
        <v>77</v>
      </c>
      <c r="G14" s="17" t="s">
        <v>23</v>
      </c>
      <c r="H14" s="15" t="s">
        <v>78</v>
      </c>
      <c r="I14" s="18" t="n">
        <v>4.31</v>
      </c>
      <c r="J14" s="19" t="n">
        <v>3</v>
      </c>
      <c r="K14" s="20" t="n">
        <f aca="false">IF(I14="","à chiffrer",I14*J14)</f>
        <v>12.93</v>
      </c>
      <c r="L14" s="16" t="s">
        <v>79</v>
      </c>
      <c r="M14" s="15" t="s">
        <v>26</v>
      </c>
      <c r="N14" s="16"/>
      <c r="O14" s="21"/>
      <c r="P14" s="22"/>
    </row>
    <row r="15" customFormat="false" ht="35.05" hidden="false" customHeight="false" outlineLevel="0" collapsed="false">
      <c r="A15" s="14" t="n">
        <v>11</v>
      </c>
      <c r="B15" s="15" t="s">
        <v>41</v>
      </c>
      <c r="C15" s="16" t="s">
        <v>80</v>
      </c>
      <c r="D15" s="16" t="s">
        <v>81</v>
      </c>
      <c r="E15" s="15" t="s">
        <v>21</v>
      </c>
      <c r="F15" s="15" t="s">
        <v>82</v>
      </c>
      <c r="G15" s="17" t="s">
        <v>23</v>
      </c>
      <c r="H15" s="15" t="s">
        <v>83</v>
      </c>
      <c r="I15" s="18" t="n">
        <v>6.23</v>
      </c>
      <c r="J15" s="19" t="n">
        <v>2</v>
      </c>
      <c r="K15" s="20" t="n">
        <f aca="false">IF(I15="","à chiffrer",I15*J15)</f>
        <v>12.46</v>
      </c>
      <c r="L15" s="16" t="s">
        <v>84</v>
      </c>
      <c r="M15" s="15" t="s">
        <v>26</v>
      </c>
      <c r="N15" s="16" t="s">
        <v>85</v>
      </c>
      <c r="O15" s="21"/>
      <c r="P15" s="22"/>
    </row>
    <row r="16" customFormat="false" ht="23.85" hidden="false" customHeight="false" outlineLevel="0" collapsed="false">
      <c r="A16" s="4" t="n">
        <v>12</v>
      </c>
      <c r="B16" s="5" t="s">
        <v>86</v>
      </c>
      <c r="C16" s="6" t="s">
        <v>87</v>
      </c>
      <c r="D16" s="6" t="s">
        <v>88</v>
      </c>
      <c r="E16" s="5" t="s">
        <v>21</v>
      </c>
      <c r="F16" s="5" t="s">
        <v>89</v>
      </c>
      <c r="G16" s="7" t="s">
        <v>23</v>
      </c>
      <c r="H16" s="5" t="s">
        <v>90</v>
      </c>
      <c r="I16" s="8" t="n">
        <v>17.66</v>
      </c>
      <c r="J16" s="9" t="n">
        <v>1</v>
      </c>
      <c r="K16" s="10" t="n">
        <f aca="false">IF(I16="","à chiffrer",I16*J16)</f>
        <v>17.66</v>
      </c>
      <c r="L16" s="6" t="s">
        <v>47</v>
      </c>
      <c r="M16" s="5" t="s">
        <v>26</v>
      </c>
      <c r="N16" s="6" t="s">
        <v>91</v>
      </c>
      <c r="O16" s="11"/>
      <c r="P16" s="12"/>
    </row>
    <row r="17" customFormat="false" ht="15" hidden="false" customHeight="false" outlineLevel="0" collapsed="false">
      <c r="A17" s="4" t="n">
        <v>13</v>
      </c>
      <c r="B17" s="5" t="s">
        <v>86</v>
      </c>
      <c r="C17" s="6" t="s">
        <v>92</v>
      </c>
      <c r="D17" s="6" t="s">
        <v>93</v>
      </c>
      <c r="E17" s="5" t="s">
        <v>21</v>
      </c>
      <c r="F17" s="5" t="s">
        <v>94</v>
      </c>
      <c r="G17" s="7" t="s">
        <v>23</v>
      </c>
      <c r="H17" s="5" t="s">
        <v>83</v>
      </c>
      <c r="I17" s="8" t="n">
        <v>6.2</v>
      </c>
      <c r="J17" s="9" t="n">
        <v>1</v>
      </c>
      <c r="K17" s="10" t="n">
        <f aca="false">IF(I17="","à chiffrer",I17*J17)</f>
        <v>6.2</v>
      </c>
      <c r="L17" s="6" t="s">
        <v>47</v>
      </c>
      <c r="M17" s="5" t="s">
        <v>26</v>
      </c>
      <c r="N17" s="6" t="s">
        <v>95</v>
      </c>
      <c r="O17" s="11"/>
      <c r="P17" s="12"/>
    </row>
    <row r="18" customFormat="false" ht="35.05" hidden="false" customHeight="false" outlineLevel="0" collapsed="false">
      <c r="A18" s="4" t="n">
        <v>14</v>
      </c>
      <c r="B18" s="5" t="s">
        <v>86</v>
      </c>
      <c r="C18" s="6" t="s">
        <v>96</v>
      </c>
      <c r="D18" s="6" t="s">
        <v>97</v>
      </c>
      <c r="E18" s="5" t="s">
        <v>35</v>
      </c>
      <c r="F18" s="5" t="s">
        <v>36</v>
      </c>
      <c r="G18" s="7" t="s">
        <v>37</v>
      </c>
      <c r="H18" s="5" t="s">
        <v>98</v>
      </c>
      <c r="I18" s="13"/>
      <c r="J18" s="9" t="n">
        <v>1</v>
      </c>
      <c r="K18" s="10" t="str">
        <f aca="false">IF(I18="","à chiffrer",I18*J18)</f>
        <v>à chiffrer</v>
      </c>
      <c r="L18" s="6" t="s">
        <v>99</v>
      </c>
      <c r="M18" s="5" t="s">
        <v>26</v>
      </c>
      <c r="N18" s="6" t="s">
        <v>100</v>
      </c>
      <c r="O18" s="11"/>
      <c r="P18" s="12"/>
    </row>
    <row r="19" customFormat="false" ht="23.85" hidden="false" customHeight="false" outlineLevel="0" collapsed="false">
      <c r="A19" s="14" t="n">
        <v>15</v>
      </c>
      <c r="B19" s="15" t="s">
        <v>101</v>
      </c>
      <c r="C19" s="16" t="s">
        <v>102</v>
      </c>
      <c r="D19" s="16" t="s">
        <v>103</v>
      </c>
      <c r="E19" s="15" t="s">
        <v>44</v>
      </c>
      <c r="F19" s="15" t="s">
        <v>104</v>
      </c>
      <c r="G19" s="17" t="s">
        <v>46</v>
      </c>
      <c r="H19" s="15" t="s">
        <v>105</v>
      </c>
      <c r="I19" s="18" t="n">
        <v>1.26</v>
      </c>
      <c r="J19" s="19" t="n">
        <v>20</v>
      </c>
      <c r="K19" s="20" t="n">
        <f aca="false">IF(I19="","à chiffrer",I19*J19)</f>
        <v>25.2</v>
      </c>
      <c r="L19" s="16" t="s">
        <v>106</v>
      </c>
      <c r="M19" s="15" t="s">
        <v>26</v>
      </c>
      <c r="N19" s="16" t="s">
        <v>107</v>
      </c>
      <c r="O19" s="21"/>
      <c r="P19" s="22"/>
    </row>
    <row r="20" customFormat="false" ht="15" hidden="false" customHeight="false" outlineLevel="0" collapsed="false">
      <c r="A20" s="14" t="n">
        <v>16</v>
      </c>
      <c r="B20" s="15" t="s">
        <v>101</v>
      </c>
      <c r="C20" s="16" t="s">
        <v>108</v>
      </c>
      <c r="D20" s="16" t="s">
        <v>109</v>
      </c>
      <c r="E20" s="15" t="s">
        <v>21</v>
      </c>
      <c r="F20" s="15" t="s">
        <v>110</v>
      </c>
      <c r="G20" s="17" t="s">
        <v>23</v>
      </c>
      <c r="H20" s="15" t="s">
        <v>111</v>
      </c>
      <c r="I20" s="18" t="n">
        <v>7.05</v>
      </c>
      <c r="J20" s="19" t="n">
        <v>2</v>
      </c>
      <c r="K20" s="20" t="n">
        <f aca="false">IF(I20="","à chiffrer",I20*J20)</f>
        <v>14.1</v>
      </c>
      <c r="L20" s="16" t="s">
        <v>47</v>
      </c>
      <c r="M20" s="15" t="s">
        <v>26</v>
      </c>
      <c r="N20" s="16" t="s">
        <v>112</v>
      </c>
      <c r="O20" s="21"/>
      <c r="P20" s="22"/>
    </row>
    <row r="21" customFormat="false" ht="15" hidden="false" customHeight="false" outlineLevel="0" collapsed="false">
      <c r="A21" s="14" t="n">
        <v>17</v>
      </c>
      <c r="B21" s="15" t="s">
        <v>101</v>
      </c>
      <c r="C21" s="16" t="s">
        <v>113</v>
      </c>
      <c r="D21" s="16" t="s">
        <v>114</v>
      </c>
      <c r="E21" s="15" t="s">
        <v>21</v>
      </c>
      <c r="F21" s="15" t="s">
        <v>115</v>
      </c>
      <c r="G21" s="17" t="s">
        <v>23</v>
      </c>
      <c r="H21" s="15" t="s">
        <v>116</v>
      </c>
      <c r="I21" s="18" t="n">
        <v>2.9</v>
      </c>
      <c r="J21" s="19" t="n">
        <v>2</v>
      </c>
      <c r="K21" s="20" t="n">
        <f aca="false">IF(I21="","à chiffrer",I21*J21)</f>
        <v>5.8</v>
      </c>
      <c r="L21" s="16" t="s">
        <v>117</v>
      </c>
      <c r="M21" s="15" t="s">
        <v>26</v>
      </c>
      <c r="N21" s="16"/>
      <c r="O21" s="21"/>
      <c r="P21" s="22"/>
    </row>
    <row r="22" customFormat="false" ht="23.85" hidden="false" customHeight="false" outlineLevel="0" collapsed="false">
      <c r="A22" s="4" t="n">
        <v>18</v>
      </c>
      <c r="B22" s="5" t="s">
        <v>118</v>
      </c>
      <c r="C22" s="6" t="s">
        <v>119</v>
      </c>
      <c r="D22" s="6" t="s">
        <v>120</v>
      </c>
      <c r="E22" s="5" t="s">
        <v>21</v>
      </c>
      <c r="F22" s="5" t="s">
        <v>121</v>
      </c>
      <c r="G22" s="7" t="s">
        <v>23</v>
      </c>
      <c r="H22" s="5" t="s">
        <v>24</v>
      </c>
      <c r="I22" s="8" t="n">
        <v>91.65</v>
      </c>
      <c r="J22" s="9" t="n">
        <v>0</v>
      </c>
      <c r="K22" s="10" t="n">
        <f aca="false">IF(I22="","à chiffrer",I22*J22)</f>
        <v>0</v>
      </c>
      <c r="L22" s="6" t="s">
        <v>122</v>
      </c>
      <c r="M22" s="5" t="s">
        <v>123</v>
      </c>
      <c r="N22" s="6" t="s">
        <v>124</v>
      </c>
      <c r="O22" s="9" t="n">
        <v>1</v>
      </c>
      <c r="P22" s="10" t="n">
        <f aca="false">IF(I22="","à chiffrer",I22*O22)</f>
        <v>91.65</v>
      </c>
    </row>
    <row r="23" customFormat="false" ht="23.85" hidden="false" customHeight="false" outlineLevel="0" collapsed="false">
      <c r="A23" s="4" t="n">
        <v>19</v>
      </c>
      <c r="B23" s="5" t="s">
        <v>118</v>
      </c>
      <c r="C23" s="6" t="s">
        <v>125</v>
      </c>
      <c r="D23" s="6" t="s">
        <v>126</v>
      </c>
      <c r="E23" s="5" t="s">
        <v>21</v>
      </c>
      <c r="F23" s="5" t="s">
        <v>127</v>
      </c>
      <c r="G23" s="7" t="s">
        <v>23</v>
      </c>
      <c r="H23" s="5" t="s">
        <v>24</v>
      </c>
      <c r="I23" s="8" t="n">
        <v>32.79</v>
      </c>
      <c r="J23" s="9" t="n">
        <v>0</v>
      </c>
      <c r="K23" s="10" t="n">
        <f aca="false">IF(I23="","à chiffrer",I23*J23)</f>
        <v>0</v>
      </c>
      <c r="L23" s="6" t="s">
        <v>122</v>
      </c>
      <c r="M23" s="5" t="s">
        <v>123</v>
      </c>
      <c r="N23" s="6" t="s">
        <v>128</v>
      </c>
      <c r="O23" s="9" t="n">
        <v>1</v>
      </c>
      <c r="P23" s="10" t="n">
        <f aca="false">IF(I23="","à chiffrer",I23*O23)</f>
        <v>32.79</v>
      </c>
    </row>
    <row r="24" customFormat="false" ht="15" hidden="false" customHeight="false" outlineLevel="0" collapsed="false">
      <c r="A24" s="4" t="n">
        <v>20</v>
      </c>
      <c r="B24" s="5" t="s">
        <v>118</v>
      </c>
      <c r="C24" s="6" t="s">
        <v>129</v>
      </c>
      <c r="D24" s="6" t="s">
        <v>130</v>
      </c>
      <c r="E24" s="5" t="s">
        <v>21</v>
      </c>
      <c r="F24" s="5" t="s">
        <v>131</v>
      </c>
      <c r="G24" s="7" t="s">
        <v>23</v>
      </c>
      <c r="H24" s="5" t="s">
        <v>24</v>
      </c>
      <c r="I24" s="8" t="n">
        <v>78.8</v>
      </c>
      <c r="J24" s="9" t="n">
        <v>0</v>
      </c>
      <c r="K24" s="10" t="n">
        <f aca="false">IF(I24="","à chiffrer",I24*J24)</f>
        <v>0</v>
      </c>
      <c r="L24" s="6" t="s">
        <v>122</v>
      </c>
      <c r="M24" s="5" t="s">
        <v>123</v>
      </c>
      <c r="N24" s="6" t="s">
        <v>132</v>
      </c>
      <c r="O24" s="9" t="n">
        <v>1</v>
      </c>
      <c r="P24" s="10" t="n">
        <f aca="false">IF(I24="","à chiffrer",I24*O24)</f>
        <v>78.8</v>
      </c>
    </row>
    <row r="25" customFormat="false" ht="23.85" hidden="false" customHeight="false" outlineLevel="0" collapsed="false">
      <c r="A25" s="4" t="n">
        <v>21</v>
      </c>
      <c r="B25" s="5" t="s">
        <v>118</v>
      </c>
      <c r="C25" s="6" t="s">
        <v>133</v>
      </c>
      <c r="D25" s="6" t="s">
        <v>134</v>
      </c>
      <c r="E25" s="5" t="s">
        <v>21</v>
      </c>
      <c r="F25" s="5" t="s">
        <v>135</v>
      </c>
      <c r="G25" s="7" t="s">
        <v>23</v>
      </c>
      <c r="H25" s="5" t="s">
        <v>24</v>
      </c>
      <c r="I25" s="8" t="n">
        <v>61.7</v>
      </c>
      <c r="J25" s="9" t="n">
        <v>0</v>
      </c>
      <c r="K25" s="10" t="n">
        <f aca="false">IF(I25="","à chiffrer",I25*J25)</f>
        <v>0</v>
      </c>
      <c r="L25" s="6" t="s">
        <v>47</v>
      </c>
      <c r="M25" s="5" t="s">
        <v>123</v>
      </c>
      <c r="N25" s="6" t="s">
        <v>136</v>
      </c>
      <c r="O25" s="9" t="n">
        <v>6</v>
      </c>
      <c r="P25" s="10" t="n">
        <f aca="false">IF(I25="","à chiffrer",I25*O25)</f>
        <v>370.2</v>
      </c>
    </row>
    <row r="26" customFormat="false" ht="23.85" hidden="false" customHeight="false" outlineLevel="0" collapsed="false">
      <c r="A26" s="4" t="n">
        <v>22</v>
      </c>
      <c r="B26" s="5" t="s">
        <v>118</v>
      </c>
      <c r="C26" s="6" t="s">
        <v>137</v>
      </c>
      <c r="D26" s="6" t="s">
        <v>138</v>
      </c>
      <c r="E26" s="5" t="s">
        <v>21</v>
      </c>
      <c r="F26" s="5" t="s">
        <v>139</v>
      </c>
      <c r="G26" s="7" t="s">
        <v>23</v>
      </c>
      <c r="H26" s="5" t="s">
        <v>24</v>
      </c>
      <c r="I26" s="8" t="n">
        <v>18.93</v>
      </c>
      <c r="J26" s="9" t="n">
        <v>0</v>
      </c>
      <c r="K26" s="10" t="n">
        <f aca="false">IF(I26="","à chiffrer",I26*J26)</f>
        <v>0</v>
      </c>
      <c r="L26" s="6" t="s">
        <v>140</v>
      </c>
      <c r="M26" s="5" t="s">
        <v>123</v>
      </c>
      <c r="N26" s="6" t="s">
        <v>141</v>
      </c>
      <c r="O26" s="9" t="n">
        <v>1</v>
      </c>
      <c r="P26" s="10" t="n">
        <f aca="false">IF(I26="","à chiffrer",I26*O26)</f>
        <v>18.93</v>
      </c>
    </row>
    <row r="28" customFormat="false" ht="15" hidden="false" customHeight="false" outlineLevel="0" collapsed="false">
      <c r="A28" s="23"/>
      <c r="B28" s="23"/>
      <c r="C28" s="23"/>
      <c r="D28" s="23"/>
      <c r="E28" s="23"/>
      <c r="F28" s="23"/>
      <c r="G28" s="23"/>
      <c r="H28" s="23"/>
      <c r="I28" s="23"/>
      <c r="J28" s="24" t="s">
        <v>142</v>
      </c>
      <c r="K28" s="25" t="n">
        <f aca="false">SUMIFS($K$5:$K$26,$M$5:$M$26,"À commander")</f>
        <v>600.45</v>
      </c>
      <c r="L28" s="23"/>
      <c r="M28" s="23"/>
      <c r="N28" s="23"/>
      <c r="O28" s="24" t="s">
        <v>143</v>
      </c>
      <c r="P28" s="25" t="n">
        <f aca="false">SUM($P$5:$P$26)</f>
        <v>592.37</v>
      </c>
    </row>
    <row r="29" customFormat="false" ht="15" hidden="false" customHeight="false" outlineLevel="0" collapsed="false">
      <c r="A29" s="2" t="s">
        <v>144</v>
      </c>
    </row>
  </sheetData>
  <autoFilter ref="A4:P26"/>
  <hyperlinks>
    <hyperlink ref="G5" r:id="rId2" display="Fiche RS"/>
    <hyperlink ref="G6" r:id="rId3" display="Fiche RS"/>
    <hyperlink ref="G7" r:id="rId4" display="Recherche Amazon"/>
    <hyperlink ref="G8" r:id="rId5" display="Fiche Rexel"/>
    <hyperlink ref="G9" r:id="rId6" display="Fiche RS"/>
    <hyperlink ref="G10" r:id="rId7" display="Fiche RS"/>
    <hyperlink ref="G11" r:id="rId8" display="Fiche RS"/>
    <hyperlink ref="G12" r:id="rId9" display="Fiche RS"/>
    <hyperlink ref="G13" r:id="rId10" display="Fiche Rexel"/>
    <hyperlink ref="G14" r:id="rId11" display="Fiche RS"/>
    <hyperlink ref="G15" r:id="rId12" display="Fiche RS"/>
    <hyperlink ref="G16" r:id="rId13" display="Fiche RS"/>
    <hyperlink ref="G17" r:id="rId14" display="Fiche RS"/>
    <hyperlink ref="G18" r:id="rId15" display="Recherche Amazon"/>
    <hyperlink ref="G19" r:id="rId16" display="Fiche Rexel"/>
    <hyperlink ref="G20" r:id="rId17" display="Fiche RS"/>
    <hyperlink ref="G21" r:id="rId18" display="Fiche RS"/>
    <hyperlink ref="G22" r:id="rId19" display="Fiche RS"/>
    <hyperlink ref="G23" r:id="rId20" display="Fiche RS"/>
    <hyperlink ref="G24" r:id="rId21" display="Fiche RS"/>
    <hyperlink ref="G25" r:id="rId22" display="Fiche RS"/>
    <hyperlink ref="G26" r:id="rId23" display="Fiche R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4"/>
  <legacyDrawing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2026-10-21T08:10:25Z</dcterms:created>
  <dc:creator>openpyxl</dc:creator>
  <dc:description/>
  <dc:language>en-US</dc:language>
  <cp:lastModifiedBy/>
  <dcterms:modified xsi:type="dcterms:W3CDTF">2026-10-21T08:10:25Z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